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 Sheet" sheetId="1" r:id="rId5"/>
    <sheet state="visible" name="Doctors Information" sheetId="2" r:id="rId6"/>
    <sheet state="visible" name="Appointments" sheetId="3" r:id="rId7"/>
    <sheet state="visible" name="Daily Revenue Summary" sheetId="4" r:id="rId8"/>
    <sheet state="visible" name="Billing Table" sheetId="5" r:id="rId9"/>
    <sheet state="visible" name="Doctor-wise Performance Dashboa" sheetId="6" r:id="rId10"/>
    <sheet state="visible" name="Patient Search" sheetId="7" r:id="rId11"/>
  </sheets>
  <definedNames/>
  <calcPr/>
</workbook>
</file>

<file path=xl/sharedStrings.xml><?xml version="1.0" encoding="utf-8"?>
<sst xmlns="http://schemas.openxmlformats.org/spreadsheetml/2006/main" count="159" uniqueCount="104">
  <si>
    <t>Documentation Title: Advance Hospital Appointments &amp; Billing System</t>
  </si>
  <si>
    <r>
      <rPr>
        <rFont val="EB Garamond"/>
        <b/>
        <color rgb="FF0B5394"/>
        <sz val="30.0"/>
      </rPr>
      <t xml:space="preserve">Name: </t>
    </r>
    <r>
      <rPr>
        <rFont val="EB Garamond"/>
        <b/>
        <color rgb="FFF1C232"/>
        <sz val="30.0"/>
      </rPr>
      <t>Adeeba Maryam</t>
    </r>
  </si>
  <si>
    <r>
      <rPr>
        <rFont val="EB Garamond"/>
        <b/>
        <color rgb="FF0B5394"/>
        <sz val="30.0"/>
      </rPr>
      <t>Father name:</t>
    </r>
    <r>
      <rPr>
        <rFont val="EB Garamond"/>
        <b/>
        <color theme="1"/>
        <sz val="30.0"/>
      </rPr>
      <t xml:space="preserve"> </t>
    </r>
    <r>
      <rPr>
        <rFont val="EB Garamond"/>
        <b/>
        <color rgb="FFF1C232"/>
        <sz val="30.0"/>
      </rPr>
      <t>Ghulam Fareed</t>
    </r>
  </si>
  <si>
    <r>
      <rPr>
        <rFont val="EB Garamond"/>
        <b/>
        <color rgb="FF0B5394"/>
        <sz val="30.0"/>
      </rPr>
      <t>Student ID:</t>
    </r>
    <r>
      <rPr>
        <rFont val="EB Garamond"/>
        <b/>
        <color theme="1"/>
        <sz val="30.0"/>
      </rPr>
      <t xml:space="preserve"> </t>
    </r>
    <r>
      <rPr>
        <rFont val="EB Garamond"/>
        <b/>
        <color rgb="FFF1C232"/>
        <sz val="30.0"/>
      </rPr>
      <t>483237</t>
    </r>
  </si>
  <si>
    <r>
      <rPr>
        <rFont val="EB Garamond"/>
        <b/>
        <color rgb="FF0B5394"/>
        <sz val="30.0"/>
      </rPr>
      <t xml:space="preserve">Class Timing: </t>
    </r>
    <r>
      <rPr>
        <rFont val="EB Garamond"/>
        <b/>
        <color rgb="FFF1C232"/>
        <sz val="30.0"/>
      </rPr>
      <t>2:00pm to 4:00pm</t>
    </r>
  </si>
  <si>
    <r>
      <rPr>
        <rFont val="EB Garamond"/>
        <b/>
        <color rgb="FF0B5394"/>
        <sz val="30.0"/>
      </rPr>
      <t>Campus name:</t>
    </r>
    <r>
      <rPr>
        <rFont val="EB Garamond"/>
        <b/>
        <color rgb="FFF1C232"/>
        <sz val="30.0"/>
      </rPr>
      <t>Piston College (CIT)</t>
    </r>
  </si>
  <si>
    <r>
      <rPr>
        <rFont val="EB Garamond"/>
        <b/>
        <color rgb="FF0B5394"/>
        <sz val="30.0"/>
      </rPr>
      <t>Instructor:</t>
    </r>
    <r>
      <rPr>
        <rFont val="EB Garamond"/>
        <b/>
        <color theme="1"/>
        <sz val="30.0"/>
      </rPr>
      <t xml:space="preserve"> </t>
    </r>
    <r>
      <rPr>
        <rFont val="EB Garamond"/>
        <b/>
        <color rgb="FFF1C232"/>
        <sz val="30.0"/>
      </rPr>
      <t>Sir Abdul Rehman</t>
    </r>
  </si>
  <si>
    <r>
      <rPr>
        <rFont val="EB Garamond"/>
        <b/>
        <color rgb="FF0B5394"/>
        <sz val="30.0"/>
      </rPr>
      <t>Assignment:</t>
    </r>
    <r>
      <rPr>
        <rFont val="EB Garamond"/>
        <color theme="1"/>
        <sz val="30.0"/>
      </rPr>
      <t xml:space="preserve"> </t>
    </r>
    <r>
      <rPr>
        <rFont val="EB Garamond"/>
        <b/>
        <color rgb="FFF1C232"/>
        <sz val="30.0"/>
      </rPr>
      <t>Assignment no 06</t>
    </r>
  </si>
  <si>
    <t>Doctor ID</t>
  </si>
  <si>
    <t>Doctor Name</t>
  </si>
  <si>
    <t>Department</t>
  </si>
  <si>
    <t>Consultation Fee</t>
  </si>
  <si>
    <t>DOC-001-GEN</t>
  </si>
  <si>
    <t>Dr. Ahmed</t>
  </si>
  <si>
    <t>General Physician</t>
  </si>
  <si>
    <t>DOC-002-CAR</t>
  </si>
  <si>
    <t>Dr. Sara</t>
  </si>
  <si>
    <t>Cardiology</t>
  </si>
  <si>
    <t>DOC-003-ENT</t>
  </si>
  <si>
    <t>Dr. Usman</t>
  </si>
  <si>
    <t>ENT</t>
  </si>
  <si>
    <t>DOC-004-PED</t>
  </si>
  <si>
    <t>Dr. Zainab</t>
  </si>
  <si>
    <t>Pediatrics</t>
  </si>
  <si>
    <t>DOC-005-ORT</t>
  </si>
  <si>
    <t>Dr. Bilal</t>
  </si>
  <si>
    <t>Orthopedic</t>
  </si>
  <si>
    <t>DOC-006-DER</t>
  </si>
  <si>
    <t>Dr. Hina</t>
  </si>
  <si>
    <t>Dermatology</t>
  </si>
  <si>
    <t>DOC-007-NEU</t>
  </si>
  <si>
    <t>Dr. Fahad</t>
  </si>
  <si>
    <t>Neurology</t>
  </si>
  <si>
    <t>DOC-008-GYN</t>
  </si>
  <si>
    <t>Dr. Mariam</t>
  </si>
  <si>
    <t>Gynecology</t>
  </si>
  <si>
    <t>DOC-009-OPH</t>
  </si>
  <si>
    <t>Dr. Ali</t>
  </si>
  <si>
    <t>Ophthalmology</t>
  </si>
  <si>
    <t>DOC-010-PSY</t>
  </si>
  <si>
    <t>Dr. Sana</t>
  </si>
  <si>
    <t>Psychiatry</t>
  </si>
  <si>
    <t>DOC-011-URO</t>
  </si>
  <si>
    <t>Dr. Kamran</t>
  </si>
  <si>
    <t>Urology</t>
  </si>
  <si>
    <t>DOC-012-DEN</t>
  </si>
  <si>
    <t>Dr. Nadia</t>
  </si>
  <si>
    <t>Dental</t>
  </si>
  <si>
    <t>DOC-013-ONC</t>
  </si>
  <si>
    <t>Dr. Rizwan</t>
  </si>
  <si>
    <t>Oncology</t>
  </si>
  <si>
    <t>DOC-014-RAD</t>
  </si>
  <si>
    <t>Dr. Amna</t>
  </si>
  <si>
    <t>Radiology</t>
  </si>
  <si>
    <t>DOC-015-SUR</t>
  </si>
  <si>
    <t>Dr. Omar</t>
  </si>
  <si>
    <t>General Surgery</t>
  </si>
  <si>
    <t xml:space="preserve"> Appointment ID</t>
  </si>
  <si>
    <t>Patient Name</t>
  </si>
  <si>
    <t>Appointment Date</t>
  </si>
  <si>
    <t>Appointment Time</t>
  </si>
  <si>
    <t>Arrival Time</t>
  </si>
  <si>
    <t>Delay (mins)</t>
  </si>
  <si>
    <t>Status</t>
  </si>
  <si>
    <t>APP-1001</t>
  </si>
  <si>
    <t>Ali Khan</t>
  </si>
  <si>
    <t>APP-1002</t>
  </si>
  <si>
    <t>Sara Ahmed</t>
  </si>
  <si>
    <t>APP-1003</t>
  </si>
  <si>
    <t>M. Rizwan</t>
  </si>
  <si>
    <t>APP-1004</t>
  </si>
  <si>
    <t>Fatima Bi</t>
  </si>
  <si>
    <t>APP-1005</t>
  </si>
  <si>
    <t>John Doe</t>
  </si>
  <si>
    <t>APP-1006</t>
  </si>
  <si>
    <t>Hina Altaf</t>
  </si>
  <si>
    <t>APP-1007</t>
  </si>
  <si>
    <t>Bilal Sheikh</t>
  </si>
  <si>
    <t>APP-1008</t>
  </si>
  <si>
    <t>Amna Aziz</t>
  </si>
  <si>
    <t>APP-1009</t>
  </si>
  <si>
    <t>Omer Shah</t>
  </si>
  <si>
    <t>APP-1010</t>
  </si>
  <si>
    <t>Zoya Hasan</t>
  </si>
  <si>
    <t>APP-1011</t>
  </si>
  <si>
    <t>Usman Peer</t>
  </si>
  <si>
    <t>APP-1012</t>
  </si>
  <si>
    <t>Maryam Nawaz</t>
  </si>
  <si>
    <t>APP-1013</t>
  </si>
  <si>
    <t>Kamran Akmal</t>
  </si>
  <si>
    <t>APP-1014</t>
  </si>
  <si>
    <t>Sana Javed</t>
  </si>
  <si>
    <t>APP-1015</t>
  </si>
  <si>
    <t>Fahad Mustafa</t>
  </si>
  <si>
    <t xml:space="preserve"> Date</t>
  </si>
  <si>
    <t>Total Patients</t>
  </si>
  <si>
    <t>Total Revenue</t>
  </si>
  <si>
    <t>Appointment ID</t>
  </si>
  <si>
    <t xml:space="preserve"> Appointment Date</t>
  </si>
  <si>
    <t>Doctor Fee</t>
  </si>
  <si>
    <t>Total Bill</t>
  </si>
  <si>
    <t>Doctors Names</t>
  </si>
  <si>
    <t>Search Table</t>
  </si>
  <si>
    <t>Patient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</si>
</sst>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s]#,##0"/>
    <numFmt numFmtId="165" formatCode="M/d/yyyy"/>
    <numFmt numFmtId="166" formatCode="h:mm:ss am/pm"/>
    <numFmt numFmtId="167" formatCode="d-mmm-yyyy"/>
    <numFmt numFmtId="168" formatCode="h:mm am/pm"/>
  </numFmts>
  <fonts count="15">
    <font>
      <sz val="10.0"/>
      <color rgb="FF000000"/>
      <name val="Arial"/>
      <scheme val="minor"/>
    </font>
    <font>
      <b/>
      <sz val="28.0"/>
      <color rgb="FFFFFFFF"/>
      <name val="EB Garamond"/>
    </font>
    <font>
      <b/>
      <sz val="30.0"/>
      <color theme="1"/>
      <name val="EB Garamond"/>
    </font>
    <font>
      <sz val="30.0"/>
      <color theme="1"/>
      <name val="EB Garamond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i/>
      <color theme="1"/>
      <name val="Arial"/>
      <scheme val="minor"/>
    </font>
    <font>
      <b/>
      <i/>
      <color theme="1"/>
      <name val="&quot;Google Sans Text&quot;"/>
    </font>
    <font>
      <b/>
      <color rgb="FF1F1F1F"/>
      <name val="Google Sans Text"/>
    </font>
    <font>
      <color rgb="FF1F1F1F"/>
      <name val="Google Sans Text"/>
    </font>
    <font>
      <color theme="1"/>
      <name val="Arial"/>
      <scheme val="minor"/>
    </font>
    <font>
      <b/>
      <i/>
      <sz val="13.0"/>
      <color rgb="FF0B5394"/>
      <name val="Arial"/>
      <scheme val="minor"/>
    </font>
    <font>
      <b/>
      <i/>
      <color rgb="FFFFFFFF"/>
      <name val="Arial"/>
      <scheme val="minor"/>
    </font>
    <font>
      <b/>
      <i/>
      <color rgb="FFFFFFFF"/>
      <name val="Google Sans Text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6F8F9"/>
        <bgColor rgb="FFF6F8F9"/>
      </patternFill>
    </fill>
    <fill>
      <patternFill patternType="solid">
        <fgColor rgb="FF373F6B"/>
        <bgColor rgb="FF373F6B"/>
      </patternFill>
    </fill>
    <fill>
      <patternFill patternType="solid">
        <fgColor rgb="FFD0E0E3"/>
        <bgColor rgb="FFD0E0E3"/>
      </patternFill>
    </fill>
  </fills>
  <borders count="3">
    <border/>
    <border>
      <left style="double">
        <color rgb="FF134F5C"/>
      </left>
      <right style="double">
        <color rgb="FF134F5C"/>
      </right>
      <top style="double">
        <color rgb="FF134F5C"/>
      </top>
      <bottom style="double">
        <color rgb="FF134F5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Font="1"/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readingOrder="0" shrinkToFit="0" vertical="center" wrapText="1"/>
    </xf>
    <xf borderId="0" fillId="0" fontId="11" numFmtId="46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6" numFmtId="167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10" numFmtId="165" xfId="0" applyAlignment="1" applyFont="1" applyNumberFormat="1">
      <alignment horizontal="center" shrinkToFit="0" vertical="bottom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0" numFmtId="165" xfId="0" applyAlignment="1" applyFont="1" applyNumberFormat="1">
      <alignment horizontal="center" readingOrder="0" shrinkToFit="0" vertical="bottom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4" xfId="0" applyAlignment="1" applyFont="1" applyNumberFormat="1">
      <alignment horizontal="center" shrinkToFit="0" vertical="center" wrapText="1"/>
    </xf>
    <xf borderId="0" fillId="0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1"/>
    </xf>
    <xf borderId="0" fillId="3" fontId="12" numFmtId="0" xfId="0" applyAlignment="1" applyFill="1" applyFont="1">
      <alignment horizontal="center" readingOrder="0"/>
    </xf>
    <xf borderId="2" fillId="4" fontId="13" numFmtId="0" xfId="0" applyAlignment="1" applyBorder="1" applyFill="1" applyFont="1">
      <alignment horizontal="center" readingOrder="0" shrinkToFit="0" vertical="center" wrapText="1"/>
    </xf>
    <xf borderId="2" fillId="4" fontId="14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5" fontId="11" numFmtId="0" xfId="0" applyAlignment="1" applyBorder="1" applyFill="1" applyFont="1">
      <alignment horizontal="center" readingOrder="0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2" fillId="0" fontId="1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  <tableStyles count="5">
    <tableStyle count="4" pivot="0" name="Doctors Inform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oint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Revenue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lling 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tor-wise Performance Dashbo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5818E"/>
                </a:solidFill>
                <a:latin typeface="Garamond"/>
              </a:defRPr>
            </a:pPr>
            <a:r>
              <a:rPr b="1">
                <a:solidFill>
                  <a:srgbClr val="45818E"/>
                </a:solidFill>
                <a:latin typeface="Garamond"/>
              </a:rPr>
              <a:t>Total Revenue vs. Doctors Names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'Doctor-wise Performance Dashboa'!$B$3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Dashboa'!$D$3</c:f>
              <c:numCache/>
            </c:numRef>
          </c:val>
        </c:ser>
        <c:ser>
          <c:idx val="1"/>
          <c:order val="1"/>
          <c:tx>
            <c:strRef>
              <c:f>'Doctor-wise Performance Dashboa'!$B$4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Dashboa'!$D$4</c:f>
              <c:numCache/>
            </c:numRef>
          </c:val>
        </c:ser>
        <c:ser>
          <c:idx val="2"/>
          <c:order val="2"/>
          <c:tx>
            <c:strRef>
              <c:f>'Doctor-wise Performance Dashboa'!$B$5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Dashboa'!$D$5</c:f>
              <c:numCache/>
            </c:numRef>
          </c:val>
        </c:ser>
        <c:ser>
          <c:idx val="3"/>
          <c:order val="3"/>
          <c:tx>
            <c:strRef>
              <c:f>'Doctor-wise Performance Dashboa'!$B$6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Dashboa'!$D$6</c:f>
              <c:numCache/>
            </c:numRef>
          </c:val>
        </c:ser>
        <c:ser>
          <c:idx val="4"/>
          <c:order val="4"/>
          <c:tx>
            <c:strRef>
              <c:f>'Doctor-wise Performance Dashboa'!$B$7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Dashboa'!$D$7</c:f>
              <c:numCache/>
            </c:numRef>
          </c:val>
        </c:ser>
        <c:ser>
          <c:idx val="5"/>
          <c:order val="5"/>
          <c:tx>
            <c:strRef>
              <c:f>'Doctor-wise Performance Dashboa'!$B$8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Dashboa'!$D$8</c:f>
              <c:numCache/>
            </c:numRef>
          </c:val>
        </c:ser>
        <c:ser>
          <c:idx val="6"/>
          <c:order val="6"/>
          <c:tx>
            <c:strRef>
              <c:f>'Doctor-wise Performance Dashboa'!$B$9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Dashboa'!$D$9</c:f>
              <c:numCache/>
            </c:numRef>
          </c:val>
        </c:ser>
        <c:ser>
          <c:idx val="7"/>
          <c:order val="7"/>
          <c:tx>
            <c:strRef>
              <c:f>'Doctor-wise Performance Dashboa'!$B$10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Dashboa'!$D$10</c:f>
              <c:numCache/>
            </c:numRef>
          </c:val>
        </c:ser>
        <c:ser>
          <c:idx val="8"/>
          <c:order val="8"/>
          <c:tx>
            <c:strRef>
              <c:f>'Doctor-wise Performance Dashboa'!$B$11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Dashboa'!$D$11</c:f>
              <c:numCache/>
            </c:numRef>
          </c:val>
        </c:ser>
        <c:ser>
          <c:idx val="9"/>
          <c:order val="9"/>
          <c:tx>
            <c:strRef>
              <c:f>'Doctor-wise Performance Dashboa'!$B$12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Dashboa'!$D$12</c:f>
              <c:numCache/>
            </c:numRef>
          </c:val>
        </c:ser>
        <c:ser>
          <c:idx val="10"/>
          <c:order val="10"/>
          <c:tx>
            <c:strRef>
              <c:f>'Doctor-wise Performance Dashboa'!$B$13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Dashboa'!$D$13</c:f>
              <c:numCache/>
            </c:numRef>
          </c:val>
        </c:ser>
        <c:ser>
          <c:idx val="11"/>
          <c:order val="11"/>
          <c:tx>
            <c:strRef>
              <c:f>'Doctor-wise Performance Dashboa'!$B$14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Dashboa'!$D$14</c:f>
              <c:numCache/>
            </c:numRef>
          </c:val>
        </c:ser>
        <c:ser>
          <c:idx val="12"/>
          <c:order val="12"/>
          <c:tx>
            <c:strRef>
              <c:f>'Doctor-wise Performance Dashboa'!$B$15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Dashboa'!$D$15</c:f>
              <c:numCache/>
            </c:numRef>
          </c:val>
        </c:ser>
        <c:ser>
          <c:idx val="13"/>
          <c:order val="13"/>
          <c:tx>
            <c:strRef>
              <c:f>'Doctor-wise Performance Dashboa'!$B$16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'Doctor-wise Performance Dashboa'!$D$2</c:f>
            </c:strRef>
          </c:cat>
          <c:val>
            <c:numRef>
              <c:f>'Doctor-wise Performance Dashboa'!$D$16</c:f>
              <c:numCache/>
            </c:numRef>
          </c:val>
        </c:ser>
        <c:axId val="1334248620"/>
        <c:axId val="1783843485"/>
      </c:barChart>
      <c:catAx>
        <c:axId val="1334248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Doctors Names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843485"/>
      </c:catAx>
      <c:valAx>
        <c:axId val="17838434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24862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Doctors_Information" name="Doctors_Information" id="1">
  <tableColumns count="4">
    <tableColumn name="Doctor ID" id="1"/>
    <tableColumn name="Doctor Name" id="2"/>
    <tableColumn name="Department" id="3"/>
    <tableColumn name="Consultation Fee" id="4"/>
  </tableColumns>
  <tableStyleInfo name="Doctors Information-style" showColumnStripes="0" showFirstColumn="1" showLastColumn="1" showRowStripes="1"/>
</table>
</file>

<file path=xl/tables/table2.xml><?xml version="1.0" encoding="utf-8"?>
<table xmlns="http://schemas.openxmlformats.org/spreadsheetml/2006/main" ref="A1:H16" displayName="Appointments_Table" name="Appointments_Table" id="2">
  <tableColumns count="8">
    <tableColumn name=" 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(mins)" id="7"/>
    <tableColumn name="Status" id="8"/>
  </tableColumns>
  <tableStyleInfo name="Appointments-style" showColumnStripes="0" showFirstColumn="1" showLastColumn="1" showRowStripes="1"/>
</table>
</file>

<file path=xl/tables/table3.xml><?xml version="1.0" encoding="utf-8"?>
<table xmlns="http://schemas.openxmlformats.org/spreadsheetml/2006/main" ref="A1:C4" displayName="Daily_Rvenue_Table" name="Daily_Rvenue_Table" id="3">
  <tableColumns count="3">
    <tableColumn name=" Date" id="1"/>
    <tableColumn name="Total Patients" id="2"/>
    <tableColumn name="Total Revenue" id="3"/>
  </tableColumns>
  <tableStyleInfo name="Daily Revenue Summary-style" showColumnStripes="0" showFirstColumn="1" showLastColumn="1" showRowStripes="1"/>
</table>
</file>

<file path=xl/tables/table4.xml><?xml version="1.0" encoding="utf-8"?>
<table xmlns="http://schemas.openxmlformats.org/spreadsheetml/2006/main" ref="A1:F16" displayName="Billing_Table" name="Billing_Table" id="4">
  <tableColumns count="6">
    <tableColumn name="Appointment ID" id="1"/>
    <tableColumn name=" Appointment Date" id="2"/>
    <tableColumn name="Patient Name" id="3"/>
    <tableColumn name="Doctor ID" id="4"/>
    <tableColumn name="Doctor Fee" id="5"/>
    <tableColumn name="Total Bill" id="6"/>
  </tableColumns>
  <tableStyleInfo name="Billing Table-style" showColumnStripes="0" showFirstColumn="1" showLastColumn="1" showRowStripes="1"/>
</table>
</file>

<file path=xl/tables/table5.xml><?xml version="1.0" encoding="utf-8"?>
<table xmlns="http://schemas.openxmlformats.org/spreadsheetml/2006/main" ref="A1:D16" displayName="performance_Table" name="performance_Table" id="5">
  <tableColumns count="4">
    <tableColumn name="Doctor ID" id="1"/>
    <tableColumn name="Doctors Names" id="2"/>
    <tableColumn name="Total Patients" id="3"/>
    <tableColumn name="Total Revenue" id="4"/>
  </tableColumns>
  <tableStyleInfo name="Doctor-wise Performance Dashbo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78.5"/>
  </cols>
  <sheetData>
    <row r="1">
      <c r="B1" s="1" t="s">
        <v>0</v>
      </c>
    </row>
    <row r="2">
      <c r="B2" s="2" t="s">
        <v>1</v>
      </c>
    </row>
    <row r="3">
      <c r="B3" s="2" t="s">
        <v>2</v>
      </c>
    </row>
    <row r="4">
      <c r="B4" s="2" t="s">
        <v>3</v>
      </c>
    </row>
    <row r="5">
      <c r="B5" s="3" t="s">
        <v>4</v>
      </c>
    </row>
    <row r="6">
      <c r="B6" s="3" t="s">
        <v>5</v>
      </c>
    </row>
    <row r="7">
      <c r="B7" s="2" t="s">
        <v>6</v>
      </c>
    </row>
    <row r="8">
      <c r="B8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6.13"/>
    <col customWidth="1" min="3" max="3" width="15.75"/>
    <col customWidth="1" min="4" max="4" width="22.5"/>
  </cols>
  <sheetData>
    <row r="1" ht="22.5" customHeight="1">
      <c r="A1" s="5" t="s">
        <v>8</v>
      </c>
      <c r="B1" s="5" t="s">
        <v>9</v>
      </c>
      <c r="C1" s="5" t="s">
        <v>10</v>
      </c>
      <c r="D1" s="5" t="s">
        <v>11</v>
      </c>
    </row>
    <row r="2" ht="22.5" customHeight="1">
      <c r="A2" s="6" t="s">
        <v>12</v>
      </c>
      <c r="B2" s="7" t="s">
        <v>13</v>
      </c>
      <c r="C2" s="7" t="s">
        <v>14</v>
      </c>
      <c r="D2" s="8">
        <v>1000.0</v>
      </c>
    </row>
    <row r="3" ht="22.5" customHeight="1">
      <c r="A3" s="6" t="s">
        <v>15</v>
      </c>
      <c r="B3" s="7" t="s">
        <v>16</v>
      </c>
      <c r="C3" s="7" t="s">
        <v>17</v>
      </c>
      <c r="D3" s="8">
        <v>2500.0</v>
      </c>
    </row>
    <row r="4" ht="22.5" customHeight="1">
      <c r="A4" s="6" t="s">
        <v>18</v>
      </c>
      <c r="B4" s="7" t="s">
        <v>19</v>
      </c>
      <c r="C4" s="7" t="s">
        <v>20</v>
      </c>
      <c r="D4" s="8">
        <v>1500.0</v>
      </c>
    </row>
    <row r="5" ht="22.5" customHeight="1">
      <c r="A5" s="6" t="s">
        <v>21</v>
      </c>
      <c r="B5" s="7" t="s">
        <v>22</v>
      </c>
      <c r="C5" s="7" t="s">
        <v>23</v>
      </c>
      <c r="D5" s="8">
        <v>1200.0</v>
      </c>
    </row>
    <row r="6" ht="22.5" customHeight="1">
      <c r="A6" s="6" t="s">
        <v>24</v>
      </c>
      <c r="B6" s="7" t="s">
        <v>25</v>
      </c>
      <c r="C6" s="7" t="s">
        <v>26</v>
      </c>
      <c r="D6" s="8">
        <v>2000.0</v>
      </c>
    </row>
    <row r="7" ht="22.5" customHeight="1">
      <c r="A7" s="6" t="s">
        <v>27</v>
      </c>
      <c r="B7" s="7" t="s">
        <v>28</v>
      </c>
      <c r="C7" s="7" t="s">
        <v>29</v>
      </c>
      <c r="D7" s="8">
        <v>1800.0</v>
      </c>
    </row>
    <row r="8" ht="22.5" customHeight="1">
      <c r="A8" s="6" t="s">
        <v>30</v>
      </c>
      <c r="B8" s="7" t="s">
        <v>31</v>
      </c>
      <c r="C8" s="7" t="s">
        <v>32</v>
      </c>
      <c r="D8" s="8">
        <v>3000.0</v>
      </c>
    </row>
    <row r="9" ht="22.5" customHeight="1">
      <c r="A9" s="6" t="s">
        <v>33</v>
      </c>
      <c r="B9" s="7" t="s">
        <v>34</v>
      </c>
      <c r="C9" s="7" t="s">
        <v>35</v>
      </c>
      <c r="D9" s="8">
        <v>2200.0</v>
      </c>
    </row>
    <row r="10" ht="22.5" customHeight="1">
      <c r="A10" s="6" t="s">
        <v>36</v>
      </c>
      <c r="B10" s="7" t="s">
        <v>37</v>
      </c>
      <c r="C10" s="7" t="s">
        <v>38</v>
      </c>
      <c r="D10" s="8">
        <v>1500.0</v>
      </c>
    </row>
    <row r="11" ht="22.5" customHeight="1">
      <c r="A11" s="6" t="s">
        <v>39</v>
      </c>
      <c r="B11" s="7" t="s">
        <v>40</v>
      </c>
      <c r="C11" s="7" t="s">
        <v>41</v>
      </c>
      <c r="D11" s="8">
        <v>2500.0</v>
      </c>
    </row>
    <row r="12" ht="22.5" customHeight="1">
      <c r="A12" s="6" t="s">
        <v>42</v>
      </c>
      <c r="B12" s="7" t="s">
        <v>43</v>
      </c>
      <c r="C12" s="7" t="s">
        <v>44</v>
      </c>
      <c r="D12" s="8">
        <v>2000.0</v>
      </c>
    </row>
    <row r="13" ht="22.5" customHeight="1">
      <c r="A13" s="6" t="s">
        <v>45</v>
      </c>
      <c r="B13" s="7" t="s">
        <v>46</v>
      </c>
      <c r="C13" s="7" t="s">
        <v>47</v>
      </c>
      <c r="D13" s="8">
        <v>1500.0</v>
      </c>
    </row>
    <row r="14" ht="22.5" customHeight="1">
      <c r="A14" s="6" t="s">
        <v>48</v>
      </c>
      <c r="B14" s="7" t="s">
        <v>49</v>
      </c>
      <c r="C14" s="7" t="s">
        <v>50</v>
      </c>
      <c r="D14" s="8">
        <v>3500.0</v>
      </c>
    </row>
    <row r="15" ht="22.5" customHeight="1">
      <c r="A15" s="6" t="s">
        <v>51</v>
      </c>
      <c r="B15" s="7" t="s">
        <v>52</v>
      </c>
      <c r="C15" s="7" t="s">
        <v>53</v>
      </c>
      <c r="D15" s="8">
        <v>1800.0</v>
      </c>
    </row>
    <row r="16" ht="22.5" customHeight="1">
      <c r="A16" s="6" t="s">
        <v>54</v>
      </c>
      <c r="B16" s="7" t="s">
        <v>55</v>
      </c>
      <c r="C16" s="7" t="s">
        <v>56</v>
      </c>
      <c r="D16" s="8">
        <v>2500.0</v>
      </c>
    </row>
    <row r="17">
      <c r="A17" s="9"/>
      <c r="B17" s="10"/>
      <c r="C17" s="10"/>
      <c r="D17" s="11"/>
    </row>
  </sheetData>
  <dataValidations>
    <dataValidation type="list" allowBlank="1" sqref="A2:A16">
      <formula1>"DOC-001-GEN,DOC-002-CAR,DOC-003-ENT,DOC-004-PED,DOC-005-ORT,DOC-006-DER,DOC-007-NEU,DOC-008-GYN,DOC-009-OPH,DOC-010-PSY,DOC-011-URO,DOC-012-DEN,DOC-013-ONC,DOC-014-RAD,DOC-015-SUR"</formula1>
    </dataValidation>
    <dataValidation type="custom" allowBlank="1" showDropDown="1" sqref="D2:D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3.75"/>
    <col customWidth="1" min="3" max="3" width="15.5"/>
    <col customWidth="1" min="4" max="4" width="16.0"/>
    <col customWidth="1" min="5" max="5" width="22.5"/>
    <col customWidth="1" min="6" max="6" width="17.63"/>
  </cols>
  <sheetData>
    <row r="1" ht="22.5" customHeight="1">
      <c r="A1" s="12" t="s">
        <v>57</v>
      </c>
      <c r="B1" s="12" t="s">
        <v>58</v>
      </c>
      <c r="C1" s="12" t="s">
        <v>8</v>
      </c>
      <c r="D1" s="12" t="s">
        <v>59</v>
      </c>
      <c r="E1" s="13" t="s">
        <v>60</v>
      </c>
      <c r="F1" s="13" t="s">
        <v>61</v>
      </c>
      <c r="G1" s="12" t="s">
        <v>62</v>
      </c>
      <c r="H1" s="12" t="s">
        <v>63</v>
      </c>
      <c r="I1" s="14"/>
    </row>
    <row r="2" ht="22.5" customHeight="1">
      <c r="A2" s="15" t="s">
        <v>64</v>
      </c>
      <c r="B2" s="16" t="s">
        <v>65</v>
      </c>
      <c r="C2" s="17" t="s">
        <v>12</v>
      </c>
      <c r="D2" s="18">
        <v>46062.0</v>
      </c>
      <c r="E2" s="19">
        <v>0.375</v>
      </c>
      <c r="F2" s="19">
        <v>0.375</v>
      </c>
      <c r="G2" s="20">
        <f t="shared" ref="G2:G16" si="1">IF(OR(F2="", E2=""), "", F2-E2)</f>
        <v>0</v>
      </c>
      <c r="H2" s="21" t="str">
        <f t="shared" ref="H2:H16" si="2">IF(F2="","Missed", IF(G2&lt;=0,"On Time","Late"))</f>
        <v>On Time</v>
      </c>
    </row>
    <row r="3" ht="22.5" customHeight="1">
      <c r="A3" s="15" t="s">
        <v>66</v>
      </c>
      <c r="B3" s="16" t="s">
        <v>67</v>
      </c>
      <c r="C3" s="17" t="s">
        <v>15</v>
      </c>
      <c r="D3" s="18">
        <v>46062.0</v>
      </c>
      <c r="E3" s="19">
        <v>0.3958333333333333</v>
      </c>
      <c r="F3" s="19"/>
      <c r="G3" s="20" t="str">
        <f t="shared" si="1"/>
        <v/>
      </c>
      <c r="H3" s="21" t="str">
        <f t="shared" si="2"/>
        <v>Missed</v>
      </c>
    </row>
    <row r="4" ht="22.5" customHeight="1">
      <c r="A4" s="15" t="s">
        <v>68</v>
      </c>
      <c r="B4" s="16" t="s">
        <v>69</v>
      </c>
      <c r="C4" s="17" t="s">
        <v>24</v>
      </c>
      <c r="D4" s="18">
        <v>46062.0</v>
      </c>
      <c r="E4" s="19">
        <v>0.4166666666666667</v>
      </c>
      <c r="F4" s="19">
        <v>0.4270833333333333</v>
      </c>
      <c r="G4" s="20">
        <f t="shared" si="1"/>
        <v>0.01041666667</v>
      </c>
      <c r="H4" s="21" t="str">
        <f t="shared" si="2"/>
        <v>Late</v>
      </c>
    </row>
    <row r="5" ht="22.5" customHeight="1">
      <c r="A5" s="15" t="s">
        <v>70</v>
      </c>
      <c r="B5" s="16" t="s">
        <v>71</v>
      </c>
      <c r="C5" s="17" t="s">
        <v>33</v>
      </c>
      <c r="D5" s="18">
        <v>46062.0</v>
      </c>
      <c r="E5" s="19">
        <v>0.4375</v>
      </c>
      <c r="F5" s="19">
        <v>0.4375</v>
      </c>
      <c r="G5" s="20">
        <f t="shared" si="1"/>
        <v>0</v>
      </c>
      <c r="H5" s="21" t="str">
        <f t="shared" si="2"/>
        <v>On Time</v>
      </c>
    </row>
    <row r="6" ht="22.5" customHeight="1">
      <c r="A6" s="15" t="s">
        <v>72</v>
      </c>
      <c r="B6" s="16" t="s">
        <v>73</v>
      </c>
      <c r="C6" s="17" t="s">
        <v>45</v>
      </c>
      <c r="D6" s="18">
        <v>46062.0</v>
      </c>
      <c r="E6" s="19">
        <v>0.4583333333333333</v>
      </c>
      <c r="F6" s="19">
        <v>0.4618055555555556</v>
      </c>
      <c r="G6" s="20">
        <f t="shared" si="1"/>
        <v>0.003472222222</v>
      </c>
      <c r="H6" s="21" t="str">
        <f t="shared" si="2"/>
        <v>Late</v>
      </c>
    </row>
    <row r="7" ht="22.5" customHeight="1">
      <c r="A7" s="15" t="s">
        <v>74</v>
      </c>
      <c r="B7" s="16" t="s">
        <v>75</v>
      </c>
      <c r="C7" s="17" t="s">
        <v>21</v>
      </c>
      <c r="D7" s="18">
        <v>46063.0</v>
      </c>
      <c r="E7" s="19">
        <v>0.4791666666666667</v>
      </c>
      <c r="F7" s="19">
        <v>0.4895833333333333</v>
      </c>
      <c r="G7" s="20">
        <f t="shared" si="1"/>
        <v>0.01041666667</v>
      </c>
      <c r="H7" s="21" t="str">
        <f t="shared" si="2"/>
        <v>Late</v>
      </c>
    </row>
    <row r="8" ht="22.5" customHeight="1">
      <c r="A8" s="15" t="s">
        <v>76</v>
      </c>
      <c r="B8" s="16" t="s">
        <v>77</v>
      </c>
      <c r="C8" s="17" t="s">
        <v>30</v>
      </c>
      <c r="D8" s="18">
        <v>46063.0</v>
      </c>
      <c r="E8" s="19">
        <v>0.5</v>
      </c>
      <c r="F8" s="19">
        <v>0.5</v>
      </c>
      <c r="G8" s="20">
        <f t="shared" si="1"/>
        <v>0</v>
      </c>
      <c r="H8" s="21" t="str">
        <f t="shared" si="2"/>
        <v>On Time</v>
      </c>
    </row>
    <row r="9" ht="22.5" customHeight="1">
      <c r="A9" s="15" t="s">
        <v>78</v>
      </c>
      <c r="B9" s="16" t="s">
        <v>79</v>
      </c>
      <c r="C9" s="17" t="s">
        <v>27</v>
      </c>
      <c r="D9" s="18">
        <v>46063.0</v>
      </c>
      <c r="E9" s="19">
        <v>0.5416666666666666</v>
      </c>
      <c r="F9" s="19">
        <v>0.5486111111111112</v>
      </c>
      <c r="G9" s="20">
        <f t="shared" si="1"/>
        <v>0.006944444444</v>
      </c>
      <c r="H9" s="21" t="str">
        <f t="shared" si="2"/>
        <v>Late</v>
      </c>
    </row>
    <row r="10" ht="22.5" customHeight="1">
      <c r="A10" s="15" t="s">
        <v>80</v>
      </c>
      <c r="B10" s="16" t="s">
        <v>81</v>
      </c>
      <c r="C10" s="17" t="s">
        <v>18</v>
      </c>
      <c r="D10" s="18">
        <v>46063.0</v>
      </c>
      <c r="E10" s="19">
        <v>0.5625</v>
      </c>
      <c r="F10" s="19">
        <v>0.5625</v>
      </c>
      <c r="G10" s="20">
        <f t="shared" si="1"/>
        <v>0</v>
      </c>
      <c r="H10" s="21" t="str">
        <f t="shared" si="2"/>
        <v>On Time</v>
      </c>
    </row>
    <row r="11" ht="22.5" customHeight="1">
      <c r="A11" s="15" t="s">
        <v>82</v>
      </c>
      <c r="B11" s="16" t="s">
        <v>83</v>
      </c>
      <c r="C11" s="17" t="s">
        <v>36</v>
      </c>
      <c r="D11" s="18">
        <v>46063.0</v>
      </c>
      <c r="E11" s="19">
        <v>0.5833333333333334</v>
      </c>
      <c r="F11" s="19"/>
      <c r="G11" s="20" t="str">
        <f t="shared" si="1"/>
        <v/>
      </c>
      <c r="H11" s="21" t="str">
        <f t="shared" si="2"/>
        <v>Missed</v>
      </c>
    </row>
    <row r="12" ht="22.5" customHeight="1">
      <c r="A12" s="15" t="s">
        <v>84</v>
      </c>
      <c r="B12" s="16" t="s">
        <v>85</v>
      </c>
      <c r="C12" s="17" t="s">
        <v>54</v>
      </c>
      <c r="D12" s="18">
        <v>46064.0</v>
      </c>
      <c r="E12" s="19">
        <v>0.6041666666666666</v>
      </c>
      <c r="F12" s="19">
        <v>0.6111111111111112</v>
      </c>
      <c r="G12" s="20">
        <f t="shared" si="1"/>
        <v>0.006944444444</v>
      </c>
      <c r="H12" s="21" t="str">
        <f t="shared" si="2"/>
        <v>Late</v>
      </c>
    </row>
    <row r="13" ht="22.5" customHeight="1">
      <c r="A13" s="15" t="s">
        <v>86</v>
      </c>
      <c r="B13" s="16" t="s">
        <v>87</v>
      </c>
      <c r="C13" s="17" t="s">
        <v>42</v>
      </c>
      <c r="D13" s="18">
        <v>46064.0</v>
      </c>
      <c r="E13" s="19">
        <v>0.625</v>
      </c>
      <c r="F13" s="19">
        <v>0.625</v>
      </c>
      <c r="G13" s="20">
        <f t="shared" si="1"/>
        <v>0</v>
      </c>
      <c r="H13" s="21" t="str">
        <f t="shared" si="2"/>
        <v>On Time</v>
      </c>
    </row>
    <row r="14" ht="22.5" customHeight="1">
      <c r="A14" s="15" t="s">
        <v>88</v>
      </c>
      <c r="B14" s="16" t="s">
        <v>89</v>
      </c>
      <c r="C14" s="17" t="s">
        <v>48</v>
      </c>
      <c r="D14" s="18">
        <v>46064.0</v>
      </c>
      <c r="E14" s="19">
        <v>0.6458333333333334</v>
      </c>
      <c r="F14" s="19">
        <v>0.65625</v>
      </c>
      <c r="G14" s="20">
        <f t="shared" si="1"/>
        <v>0.01041666667</v>
      </c>
      <c r="H14" s="21" t="str">
        <f t="shared" si="2"/>
        <v>Late</v>
      </c>
    </row>
    <row r="15" ht="22.5" customHeight="1">
      <c r="A15" s="15" t="s">
        <v>90</v>
      </c>
      <c r="B15" s="16" t="s">
        <v>91</v>
      </c>
      <c r="C15" s="17" t="s">
        <v>39</v>
      </c>
      <c r="D15" s="18">
        <v>46064.0</v>
      </c>
      <c r="E15" s="19">
        <v>0.6666666666666666</v>
      </c>
      <c r="F15" s="19"/>
      <c r="G15" s="20" t="str">
        <f t="shared" si="1"/>
        <v/>
      </c>
      <c r="H15" s="21" t="str">
        <f t="shared" si="2"/>
        <v>Missed</v>
      </c>
    </row>
    <row r="16" ht="22.5" customHeight="1">
      <c r="A16" s="15" t="s">
        <v>92</v>
      </c>
      <c r="B16" s="16" t="s">
        <v>93</v>
      </c>
      <c r="C16" s="17" t="s">
        <v>51</v>
      </c>
      <c r="D16" s="18">
        <v>46064.0</v>
      </c>
      <c r="E16" s="19">
        <v>0.6875</v>
      </c>
      <c r="F16" s="19">
        <v>0.6875</v>
      </c>
      <c r="G16" s="20">
        <f t="shared" si="1"/>
        <v>0</v>
      </c>
      <c r="H16" s="21" t="str">
        <f t="shared" si="2"/>
        <v>On Time</v>
      </c>
    </row>
    <row r="17">
      <c r="A17" s="9"/>
      <c r="B17" s="10"/>
      <c r="C17" s="10"/>
      <c r="D17" s="22"/>
      <c r="E17" s="23"/>
      <c r="F17" s="23"/>
    </row>
  </sheetData>
  <conditionalFormatting sqref="H2:H16">
    <cfRule type="containsText" dxfId="5" priority="1" operator="containsText" text="on time">
      <formula>NOT(ISERROR(SEARCH(("on time"),(H2))))</formula>
    </cfRule>
  </conditionalFormatting>
  <conditionalFormatting sqref="H2:H16">
    <cfRule type="containsText" dxfId="6" priority="2" operator="containsText" text="late">
      <formula>NOT(ISERROR(SEARCH(("late"),(H2))))</formula>
    </cfRule>
  </conditionalFormatting>
  <conditionalFormatting sqref="H2:H16">
    <cfRule type="containsText" dxfId="7" priority="3" operator="containsText" text="missed">
      <formula>NOT(ISERROR(SEARCH(("missed"),(H2))))</formula>
    </cfRule>
  </conditionalFormatting>
  <dataValidations>
    <dataValidation type="list" allowBlank="1" sqref="C2:C16">
      <formula1>"DOC-001-GEN,DOC-002-CAR,DOC-005-ORT,DOC-008-GYN,DOC-012-DEN,DOC-004-PED,DOC-007-NEU,DOC-006-DER,DOC-003-ENT,DOC-009-OPH,DOC-015-SUR,DOC-011-URO,DOC-013-ONC,DOC-010-PSY,DOC-014-RAD"</formula1>
    </dataValidation>
    <dataValidation type="custom" allowBlank="1" showDropDown="1" sqref="E2:F16">
      <formula1>OR(TIMEVALUE(TEXT(E2, "hh:mm:ss"))=E2, AND(ISNUMBER(E2), LEFT(CELL("format", E2))="D"))</formula1>
    </dataValidation>
    <dataValidation type="custom" allowBlank="1" showDropDown="1" sqref="D2:D16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9.0"/>
  </cols>
  <sheetData>
    <row r="1" ht="22.5" customHeight="1">
      <c r="A1" s="12" t="s">
        <v>94</v>
      </c>
      <c r="B1" s="12" t="s">
        <v>95</v>
      </c>
      <c r="C1" s="12" t="s">
        <v>96</v>
      </c>
    </row>
    <row r="2" ht="22.5" customHeight="1">
      <c r="A2" s="24">
        <v>46062.0</v>
      </c>
      <c r="B2" s="21">
        <f>COUNTIF(Appointments_Table[Appointment Date],A2)</f>
        <v>5</v>
      </c>
      <c r="C2" s="25">
        <f>SUMIF(Billing_Table[ Appointment Date],A2,Billing_Table[Total Bill])</f>
        <v>9200</v>
      </c>
    </row>
    <row r="3" ht="22.5" customHeight="1">
      <c r="A3" s="26">
        <v>46063.0</v>
      </c>
      <c r="B3" s="21">
        <f>COUNTIF(Appointments_Table[Appointment Date],A3)</f>
        <v>5</v>
      </c>
      <c r="C3" s="25">
        <f>SUMIF(Billing_Table[ Appointment Date],A3,Billing_Table[Total Bill])</f>
        <v>9000</v>
      </c>
    </row>
    <row r="4" ht="22.5" customHeight="1">
      <c r="A4" s="26">
        <v>46064.0</v>
      </c>
      <c r="B4" s="21">
        <f>COUNTIF(Appointments_Table[Appointment Date],A4)</f>
        <v>5</v>
      </c>
      <c r="C4" s="25">
        <f>SUMIF(Billing_Table[ Appointment Date],A4,Billing_Table[Total Bill])</f>
        <v>12300</v>
      </c>
    </row>
  </sheetData>
  <dataValidations>
    <dataValidation type="custom" allowBlank="1" showDropDown="1" sqref="A2:A4">
      <formula1>OR(NOT(ISERROR(DATEVALUE(A2))), AND(ISNUMBER(A2), LEFT(CELL("format", A2))="D"))</formula1>
    </dataValidation>
    <dataValidation type="custom" allowBlank="1" showDropDown="1" sqref="C2:C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13.75"/>
    <col customWidth="1" min="4" max="4" width="15.5"/>
    <col customWidth="1" min="5" max="5" width="16.63"/>
    <col customWidth="1" min="6" max="6" width="15.13"/>
  </cols>
  <sheetData>
    <row r="1" ht="22.5" customHeight="1">
      <c r="A1" s="12" t="s">
        <v>97</v>
      </c>
      <c r="B1" s="12" t="s">
        <v>98</v>
      </c>
      <c r="C1" s="12" t="s">
        <v>58</v>
      </c>
      <c r="D1" s="12" t="s">
        <v>8</v>
      </c>
      <c r="E1" s="12" t="s">
        <v>99</v>
      </c>
      <c r="F1" s="12" t="s">
        <v>100</v>
      </c>
    </row>
    <row r="2" ht="22.5" customHeight="1">
      <c r="A2" s="15" t="s">
        <v>64</v>
      </c>
      <c r="B2" s="18">
        <f>VLOOKUP(A2,Appointments_Table[],4,false)</f>
        <v>46062</v>
      </c>
      <c r="C2" s="27" t="str">
        <f>VLOOKUP(A2,Appointments_Table[],2,false)</f>
        <v>Ali Khan</v>
      </c>
      <c r="D2" s="28" t="str">
        <f>VLOOKUP(A2,Appointments_Table[],3,false)</f>
        <v>DOC-001-GEN</v>
      </c>
      <c r="E2" s="29">
        <f>VLOOKUP(D2,Doctors_Information[],4,false)</f>
        <v>1000</v>
      </c>
      <c r="F2" s="29">
        <f t="shared" ref="F2:F16" si="1">E2</f>
        <v>1000</v>
      </c>
    </row>
    <row r="3" ht="22.5" customHeight="1">
      <c r="A3" s="15" t="s">
        <v>66</v>
      </c>
      <c r="B3" s="18">
        <f>VLOOKUP(A3,Appointments_Table[],4,false)</f>
        <v>46062</v>
      </c>
      <c r="C3" s="27" t="str">
        <f>VLOOKUP(A3,Appointments_Table[],2,false)</f>
        <v>Sara Ahmed</v>
      </c>
      <c r="D3" s="28" t="str">
        <f>VLOOKUP(A3,Appointments_Table[],3,false)</f>
        <v>DOC-002-CAR</v>
      </c>
      <c r="E3" s="29">
        <f>VLOOKUP(D3,Doctors_Information[],4,false)</f>
        <v>2500</v>
      </c>
      <c r="F3" s="29">
        <f t="shared" si="1"/>
        <v>2500</v>
      </c>
    </row>
    <row r="4" ht="22.5" customHeight="1">
      <c r="A4" s="15" t="s">
        <v>68</v>
      </c>
      <c r="B4" s="18">
        <f>VLOOKUP(A4,Appointments_Table[],4,false)</f>
        <v>46062</v>
      </c>
      <c r="C4" s="27" t="str">
        <f>VLOOKUP(A4,Appointments_Table[],2,false)</f>
        <v>M. Rizwan</v>
      </c>
      <c r="D4" s="28" t="str">
        <f>VLOOKUP(A4,Appointments_Table[],3,false)</f>
        <v>DOC-005-ORT</v>
      </c>
      <c r="E4" s="29">
        <f>VLOOKUP(D4,Doctors_Information[],4,false)</f>
        <v>2000</v>
      </c>
      <c r="F4" s="29">
        <f t="shared" si="1"/>
        <v>2000</v>
      </c>
    </row>
    <row r="5" ht="22.5" customHeight="1">
      <c r="A5" s="15" t="s">
        <v>70</v>
      </c>
      <c r="B5" s="18">
        <f>VLOOKUP(A5,Appointments_Table[],4,false)</f>
        <v>46062</v>
      </c>
      <c r="C5" s="27" t="str">
        <f>VLOOKUP(A5,Appointments_Table[],2,false)</f>
        <v>Fatima Bi</v>
      </c>
      <c r="D5" s="28" t="str">
        <f>VLOOKUP(A5,Appointments_Table[],3,false)</f>
        <v>DOC-008-GYN</v>
      </c>
      <c r="E5" s="29">
        <f>VLOOKUP(D5,Doctors_Information[],4,false)</f>
        <v>2200</v>
      </c>
      <c r="F5" s="29">
        <f t="shared" si="1"/>
        <v>2200</v>
      </c>
    </row>
    <row r="6" ht="22.5" customHeight="1">
      <c r="A6" s="15" t="s">
        <v>72</v>
      </c>
      <c r="B6" s="18">
        <f>VLOOKUP(A6,Appointments_Table[],4,false)</f>
        <v>46062</v>
      </c>
      <c r="C6" s="27" t="str">
        <f>VLOOKUP(A6,Appointments_Table[],2,false)</f>
        <v>John Doe</v>
      </c>
      <c r="D6" s="28" t="str">
        <f>VLOOKUP(A6,Appointments_Table[],3,false)</f>
        <v>DOC-012-DEN</v>
      </c>
      <c r="E6" s="29">
        <f>VLOOKUP(D6,Doctors_Information[],4,false)</f>
        <v>1500</v>
      </c>
      <c r="F6" s="29">
        <f t="shared" si="1"/>
        <v>1500</v>
      </c>
    </row>
    <row r="7" ht="22.5" customHeight="1">
      <c r="A7" s="15" t="s">
        <v>74</v>
      </c>
      <c r="B7" s="18">
        <f>VLOOKUP(A7,Appointments_Table[],4,false)</f>
        <v>46063</v>
      </c>
      <c r="C7" s="27" t="str">
        <f>VLOOKUP(A7,Appointments_Table[],2,false)</f>
        <v>Hina Altaf</v>
      </c>
      <c r="D7" s="28" t="str">
        <f>VLOOKUP(A7,Appointments_Table[],3,false)</f>
        <v>DOC-004-PED</v>
      </c>
      <c r="E7" s="29">
        <f>VLOOKUP(D7,Doctors_Information[],4,false)</f>
        <v>1200</v>
      </c>
      <c r="F7" s="29">
        <f t="shared" si="1"/>
        <v>1200</v>
      </c>
    </row>
    <row r="8" ht="22.5" customHeight="1">
      <c r="A8" s="15" t="s">
        <v>76</v>
      </c>
      <c r="B8" s="18">
        <f>VLOOKUP(A8,Appointments_Table[],4,false)</f>
        <v>46063</v>
      </c>
      <c r="C8" s="27" t="str">
        <f>VLOOKUP(A8,Appointments_Table[],2,false)</f>
        <v>Bilal Sheikh</v>
      </c>
      <c r="D8" s="28" t="str">
        <f>VLOOKUP(A8,Appointments_Table[],3,false)</f>
        <v>DOC-007-NEU</v>
      </c>
      <c r="E8" s="29">
        <f>VLOOKUP(D8,Doctors_Information[],4,false)</f>
        <v>3000</v>
      </c>
      <c r="F8" s="29">
        <f t="shared" si="1"/>
        <v>3000</v>
      </c>
    </row>
    <row r="9" ht="22.5" customHeight="1">
      <c r="A9" s="15" t="s">
        <v>78</v>
      </c>
      <c r="B9" s="18">
        <f>VLOOKUP(A9,Appointments_Table[],4,false)</f>
        <v>46063</v>
      </c>
      <c r="C9" s="27" t="str">
        <f>VLOOKUP(A9,Appointments_Table[],2,false)</f>
        <v>Amna Aziz</v>
      </c>
      <c r="D9" s="28" t="str">
        <f>VLOOKUP(A9,Appointments_Table[],3,false)</f>
        <v>DOC-006-DER</v>
      </c>
      <c r="E9" s="29">
        <f>VLOOKUP(D9,Doctors_Information[],4,false)</f>
        <v>1800</v>
      </c>
      <c r="F9" s="29">
        <f t="shared" si="1"/>
        <v>1800</v>
      </c>
    </row>
    <row r="10" ht="22.5" customHeight="1">
      <c r="A10" s="15" t="s">
        <v>80</v>
      </c>
      <c r="B10" s="18">
        <f>VLOOKUP(A10,Appointments_Table[],4,false)</f>
        <v>46063</v>
      </c>
      <c r="C10" s="27" t="str">
        <f>VLOOKUP(A10,Appointments_Table[],2,false)</f>
        <v>Omer Shah</v>
      </c>
      <c r="D10" s="28" t="str">
        <f>VLOOKUP(A10,Appointments_Table[],3,false)</f>
        <v>DOC-003-ENT</v>
      </c>
      <c r="E10" s="29">
        <f>VLOOKUP(D10,Doctors_Information[],4,false)</f>
        <v>1500</v>
      </c>
      <c r="F10" s="29">
        <f t="shared" si="1"/>
        <v>1500</v>
      </c>
    </row>
    <row r="11" ht="22.5" customHeight="1">
      <c r="A11" s="15" t="s">
        <v>82</v>
      </c>
      <c r="B11" s="18">
        <f>VLOOKUP(A11,Appointments_Table[],4,false)</f>
        <v>46063</v>
      </c>
      <c r="C11" s="27" t="str">
        <f>VLOOKUP(A11,Appointments_Table[],2,false)</f>
        <v>Zoya Hasan</v>
      </c>
      <c r="D11" s="28" t="str">
        <f>VLOOKUP(A11,Appointments_Table[],3,false)</f>
        <v>DOC-009-OPH</v>
      </c>
      <c r="E11" s="29">
        <f>VLOOKUP(D11,Doctors_Information[],4,false)</f>
        <v>1500</v>
      </c>
      <c r="F11" s="29">
        <f t="shared" si="1"/>
        <v>1500</v>
      </c>
    </row>
    <row r="12" ht="22.5" customHeight="1">
      <c r="A12" s="15" t="s">
        <v>84</v>
      </c>
      <c r="B12" s="18">
        <f>VLOOKUP(A12,Appointments_Table[],4,false)</f>
        <v>46064</v>
      </c>
      <c r="C12" s="27" t="str">
        <f>VLOOKUP(A12,Appointments_Table[],2,false)</f>
        <v>Usman Peer</v>
      </c>
      <c r="D12" s="28" t="str">
        <f>VLOOKUP(A12,Appointments_Table[],3,false)</f>
        <v>DOC-015-SUR</v>
      </c>
      <c r="E12" s="29">
        <f>VLOOKUP(D12,Doctors_Information[],4,false)</f>
        <v>2500</v>
      </c>
      <c r="F12" s="29">
        <f t="shared" si="1"/>
        <v>2500</v>
      </c>
    </row>
    <row r="13" ht="22.5" customHeight="1">
      <c r="A13" s="15" t="s">
        <v>86</v>
      </c>
      <c r="B13" s="18">
        <f>VLOOKUP(A13,Appointments_Table[],4,false)</f>
        <v>46064</v>
      </c>
      <c r="C13" s="27" t="str">
        <f>VLOOKUP(A13,Appointments_Table[],2,false)</f>
        <v>Maryam Nawaz</v>
      </c>
      <c r="D13" s="28" t="str">
        <f>VLOOKUP(A13,Appointments_Table[],3,false)</f>
        <v>DOC-011-URO</v>
      </c>
      <c r="E13" s="29">
        <f>VLOOKUP(D13,Doctors_Information[],4,false)</f>
        <v>2000</v>
      </c>
      <c r="F13" s="29">
        <f t="shared" si="1"/>
        <v>2000</v>
      </c>
    </row>
    <row r="14" ht="22.5" customHeight="1">
      <c r="A14" s="15" t="s">
        <v>88</v>
      </c>
      <c r="B14" s="18">
        <f>VLOOKUP(A14,Appointments_Table[],4,false)</f>
        <v>46064</v>
      </c>
      <c r="C14" s="27" t="str">
        <f>VLOOKUP(A14,Appointments_Table[],2,false)</f>
        <v>Kamran Akmal</v>
      </c>
      <c r="D14" s="28" t="str">
        <f>VLOOKUP(A14,Appointments_Table[],3,false)</f>
        <v>DOC-013-ONC</v>
      </c>
      <c r="E14" s="29">
        <f>VLOOKUP(D14,Doctors_Information[],4,false)</f>
        <v>3500</v>
      </c>
      <c r="F14" s="29">
        <f t="shared" si="1"/>
        <v>3500</v>
      </c>
    </row>
    <row r="15" ht="22.5" customHeight="1">
      <c r="A15" s="15" t="s">
        <v>90</v>
      </c>
      <c r="B15" s="18">
        <f>VLOOKUP(A15,Appointments_Table[],4,false)</f>
        <v>46064</v>
      </c>
      <c r="C15" s="27" t="str">
        <f>VLOOKUP(A15,Appointments_Table[],2,false)</f>
        <v>Sana Javed</v>
      </c>
      <c r="D15" s="28" t="str">
        <f>VLOOKUP(A15,Appointments_Table[],3,false)</f>
        <v>DOC-010-PSY</v>
      </c>
      <c r="E15" s="29">
        <f>VLOOKUP(D15,Doctors_Information[],4,false)</f>
        <v>2500</v>
      </c>
      <c r="F15" s="29">
        <f t="shared" si="1"/>
        <v>2500</v>
      </c>
    </row>
    <row r="16" ht="22.5" customHeight="1">
      <c r="A16" s="15" t="s">
        <v>92</v>
      </c>
      <c r="B16" s="18">
        <f>VLOOKUP(A16,Appointments_Table[],4,false)</f>
        <v>46064</v>
      </c>
      <c r="C16" s="27" t="str">
        <f>VLOOKUP(A16,Appointments_Table[],2,false)</f>
        <v>Fahad Mustafa</v>
      </c>
      <c r="D16" s="28" t="str">
        <f>VLOOKUP(A16,Appointments_Table[],3,false)</f>
        <v>DOC-014-RAD</v>
      </c>
      <c r="E16" s="29">
        <f>VLOOKUP(D16,Doctors_Information[],4,false)</f>
        <v>1800</v>
      </c>
      <c r="F16" s="29">
        <f t="shared" si="1"/>
        <v>1800</v>
      </c>
    </row>
    <row r="18">
      <c r="E18" s="30"/>
    </row>
    <row r="19">
      <c r="E19" s="30"/>
    </row>
    <row r="20">
      <c r="E20" s="30"/>
    </row>
    <row r="21">
      <c r="E21" s="30"/>
    </row>
    <row r="22">
      <c r="E22" s="30"/>
    </row>
    <row r="23">
      <c r="E23" s="30"/>
    </row>
    <row r="24">
      <c r="E24" s="30"/>
    </row>
    <row r="25">
      <c r="E25" s="30"/>
    </row>
    <row r="26">
      <c r="E26" s="30"/>
      <c r="F26" s="30"/>
    </row>
    <row r="27">
      <c r="E27" s="30"/>
    </row>
    <row r="28">
      <c r="E28" s="30"/>
    </row>
    <row r="29">
      <c r="E29" s="30"/>
    </row>
    <row r="30">
      <c r="E30" s="30"/>
    </row>
    <row r="31">
      <c r="E31" s="30"/>
    </row>
    <row r="32">
      <c r="E32" s="30"/>
    </row>
    <row r="33">
      <c r="E33" s="30"/>
    </row>
    <row r="34">
      <c r="E34" s="30"/>
    </row>
    <row r="35">
      <c r="E35" s="30"/>
    </row>
    <row r="36">
      <c r="E36" s="30"/>
    </row>
    <row r="37">
      <c r="E37" s="30"/>
    </row>
    <row r="38">
      <c r="E38" s="30"/>
    </row>
  </sheetData>
  <dataValidations>
    <dataValidation type="list" allowBlank="1" sqref="D2:D16">
      <formula1>"DOC-001-GEN,DOC-002-CAR,DOC-005-ORT,DOC-008-GYN,DOC-012-DEN,DOC-004-PED,DOC-007-NEU,DOC-006-DER,DOC-003-ENT,DOC-009-OPH,DOC-015-SUR,DOC-011-URO,DOC-013-ONC,DOC-010-PSY,DOC-014-RAD"</formula1>
    </dataValidation>
    <dataValidation type="custom" allowBlank="1" showDropDown="1" sqref="B2:B16">
      <formula1>OR(NOT(ISERROR(DATEVALUE(B2))), AND(ISNUMBER(B2), LEFT(CELL("format", B2))="D"))</formula1>
    </dataValidation>
    <dataValidation type="custom" allowBlank="1" showDropDown="1" sqref="E2:F1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7.0"/>
    <col customWidth="1" min="3" max="3" width="19.0"/>
    <col customWidth="1" min="4" max="4" width="19.13"/>
  </cols>
  <sheetData>
    <row r="1" ht="22.5" customHeight="1">
      <c r="A1" s="31" t="s">
        <v>8</v>
      </c>
      <c r="B1" s="31" t="s">
        <v>101</v>
      </c>
      <c r="C1" s="31" t="s">
        <v>95</v>
      </c>
      <c r="D1" s="31" t="s">
        <v>96</v>
      </c>
    </row>
    <row r="2" ht="22.5" customHeight="1">
      <c r="A2" s="32" t="s">
        <v>12</v>
      </c>
      <c r="B2" s="27" t="str">
        <f>VLOOKUP(A2,Doctors_Information[],2,false)</f>
        <v>Dr. Ahmed</v>
      </c>
      <c r="C2" s="33">
        <f>COUNTIF(Appointments_Table[Doctor ID],A2)</f>
        <v>1</v>
      </c>
      <c r="D2" s="29">
        <f>SUMIF(Billing_Table[Doctor ID],A2,Billing_Table[Total Bill])</f>
        <v>1000</v>
      </c>
    </row>
    <row r="3" ht="22.5" customHeight="1">
      <c r="A3" s="32" t="s">
        <v>15</v>
      </c>
      <c r="B3" s="27" t="str">
        <f>VLOOKUP(A3,Doctors_Information[],2,false)</f>
        <v>Dr. Sara</v>
      </c>
      <c r="C3" s="33">
        <f>COUNTIF(Appointments_Table[Doctor ID],A3)</f>
        <v>1</v>
      </c>
      <c r="D3" s="29">
        <f>SUMIF(Billing_Table[Doctor ID],A3,Billing_Table[Total Bill])</f>
        <v>2500</v>
      </c>
    </row>
    <row r="4" ht="22.5" customHeight="1">
      <c r="A4" s="32" t="s">
        <v>24</v>
      </c>
      <c r="B4" s="27" t="str">
        <f>VLOOKUP(A4,Doctors_Information[],2,false)</f>
        <v>Dr. Bilal</v>
      </c>
      <c r="C4" s="33">
        <f>COUNTIF(Appointments_Table[Doctor ID],A4)</f>
        <v>1</v>
      </c>
      <c r="D4" s="29">
        <f>SUMIF(Billing_Table[Doctor ID],A4,Billing_Table[Total Bill])</f>
        <v>2000</v>
      </c>
    </row>
    <row r="5" ht="22.5" customHeight="1">
      <c r="A5" s="32" t="s">
        <v>33</v>
      </c>
      <c r="B5" s="27" t="str">
        <f>VLOOKUP(A5,Doctors_Information[],2,false)</f>
        <v>Dr. Mariam</v>
      </c>
      <c r="C5" s="33">
        <f>COUNTIF(Appointments_Table[Doctor ID],A5)</f>
        <v>1</v>
      </c>
      <c r="D5" s="29">
        <f>SUMIF(Billing_Table[Doctor ID],A5,Billing_Table[Total Bill])</f>
        <v>2200</v>
      </c>
    </row>
    <row r="6" ht="22.5" customHeight="1">
      <c r="A6" s="32" t="s">
        <v>45</v>
      </c>
      <c r="B6" s="27" t="str">
        <f>VLOOKUP(A6,Doctors_Information[],2,false)</f>
        <v>Dr. Nadia</v>
      </c>
      <c r="C6" s="33">
        <f>COUNTIF(Appointments_Table[Doctor ID],A6)</f>
        <v>1</v>
      </c>
      <c r="D6" s="29">
        <f>SUMIF(Billing_Table[Doctor ID],A6,Billing_Table[Total Bill])</f>
        <v>1500</v>
      </c>
    </row>
    <row r="7" ht="22.5" customHeight="1">
      <c r="A7" s="32" t="s">
        <v>21</v>
      </c>
      <c r="B7" s="27" t="str">
        <f>VLOOKUP(A7,Doctors_Information[],2,false)</f>
        <v>Dr. Zainab</v>
      </c>
      <c r="C7" s="33">
        <f>COUNTIF(Appointments_Table[Doctor ID],A7)</f>
        <v>1</v>
      </c>
      <c r="D7" s="29">
        <f>SUMIF(Billing_Table[Doctor ID],A7,Billing_Table[Total Bill])</f>
        <v>1200</v>
      </c>
    </row>
    <row r="8" ht="22.5" customHeight="1">
      <c r="A8" s="32" t="s">
        <v>30</v>
      </c>
      <c r="B8" s="27" t="str">
        <f>VLOOKUP(A8,Doctors_Information[],2,false)</f>
        <v>Dr. Fahad</v>
      </c>
      <c r="C8" s="33">
        <f>COUNTIF(Appointments_Table[Doctor ID],A8)</f>
        <v>1</v>
      </c>
      <c r="D8" s="29">
        <f>SUMIF(Billing_Table[Doctor ID],A8,Billing_Table[Total Bill])</f>
        <v>3000</v>
      </c>
    </row>
    <row r="9" ht="22.5" customHeight="1">
      <c r="A9" s="32" t="s">
        <v>27</v>
      </c>
      <c r="B9" s="27" t="str">
        <f>VLOOKUP(A9,Doctors_Information[],2,false)</f>
        <v>Dr. Hina</v>
      </c>
      <c r="C9" s="33">
        <f>COUNTIF(Appointments_Table[Doctor ID],A9)</f>
        <v>1</v>
      </c>
      <c r="D9" s="29">
        <f>SUMIF(Billing_Table[Doctor ID],A9,Billing_Table[Total Bill])</f>
        <v>1800</v>
      </c>
    </row>
    <row r="10" ht="22.5" customHeight="1">
      <c r="A10" s="32" t="s">
        <v>18</v>
      </c>
      <c r="B10" s="27" t="str">
        <f>VLOOKUP(A10,Doctors_Information[],2,false)</f>
        <v>Dr. Usman</v>
      </c>
      <c r="C10" s="33">
        <f>COUNTIF(Appointments_Table[Doctor ID],A10)</f>
        <v>1</v>
      </c>
      <c r="D10" s="29">
        <f>SUMIF(Billing_Table[Doctor ID],A10,Billing_Table[Total Bill])</f>
        <v>1500</v>
      </c>
    </row>
    <row r="11" ht="22.5" customHeight="1">
      <c r="A11" s="32" t="s">
        <v>36</v>
      </c>
      <c r="B11" s="27" t="str">
        <f>VLOOKUP(A11,Doctors_Information[],2,false)</f>
        <v>Dr. Ali</v>
      </c>
      <c r="C11" s="33">
        <f>COUNTIF(Appointments_Table[Doctor ID],A11)</f>
        <v>1</v>
      </c>
      <c r="D11" s="29">
        <f>SUMIF(Billing_Table[Doctor ID],A11,Billing_Table[Total Bill])</f>
        <v>1500</v>
      </c>
    </row>
    <row r="12" ht="22.5" customHeight="1">
      <c r="A12" s="32" t="s">
        <v>54</v>
      </c>
      <c r="B12" s="27" t="str">
        <f>VLOOKUP(A12,Doctors_Information[],2,false)</f>
        <v>Dr. Omar</v>
      </c>
      <c r="C12" s="33">
        <f>COUNTIF(Appointments_Table[Doctor ID],A12)</f>
        <v>1</v>
      </c>
      <c r="D12" s="29">
        <f>SUMIF(Billing_Table[Doctor ID],A12,Billing_Table[Total Bill])</f>
        <v>2500</v>
      </c>
    </row>
    <row r="13" ht="22.5" customHeight="1">
      <c r="A13" s="32" t="s">
        <v>42</v>
      </c>
      <c r="B13" s="27" t="str">
        <f>VLOOKUP(A13,Doctors_Information[],2,false)</f>
        <v>Dr. Kamran</v>
      </c>
      <c r="C13" s="33">
        <f>COUNTIF(Appointments_Table[Doctor ID],A13)</f>
        <v>1</v>
      </c>
      <c r="D13" s="29">
        <f>SUMIF(Billing_Table[Doctor ID],A13,Billing_Table[Total Bill])</f>
        <v>2000</v>
      </c>
    </row>
    <row r="14" ht="22.5" customHeight="1">
      <c r="A14" s="32" t="s">
        <v>48</v>
      </c>
      <c r="B14" s="27" t="str">
        <f>VLOOKUP(A14,Doctors_Information[],2,false)</f>
        <v>Dr. Rizwan</v>
      </c>
      <c r="C14" s="33">
        <f>COUNTIF(Appointments_Table[Doctor ID],A14)</f>
        <v>1</v>
      </c>
      <c r="D14" s="29">
        <f>SUMIF(Billing_Table[Doctor ID],A14,Billing_Table[Total Bill])</f>
        <v>3500</v>
      </c>
    </row>
    <row r="15" ht="22.5" customHeight="1">
      <c r="A15" s="32" t="s">
        <v>39</v>
      </c>
      <c r="B15" s="27" t="str">
        <f>VLOOKUP(A15,Doctors_Information[],2,false)</f>
        <v>Dr. Sana</v>
      </c>
      <c r="C15" s="33">
        <f>COUNTIF(Appointments_Table[Doctor ID],A15)</f>
        <v>1</v>
      </c>
      <c r="D15" s="29">
        <f>SUMIF(Billing_Table[Doctor ID],A15,Billing_Table[Total Bill])</f>
        <v>2500</v>
      </c>
    </row>
    <row r="16" ht="22.5" customHeight="1">
      <c r="A16" s="32" t="s">
        <v>51</v>
      </c>
      <c r="B16" s="27" t="str">
        <f>VLOOKUP(A16,Doctors_Information[],2,false)</f>
        <v>Dr. Amna</v>
      </c>
      <c r="C16" s="33">
        <f>COUNTIF(Appointments_Table[Doctor ID],A16)</f>
        <v>1</v>
      </c>
      <c r="D16" s="29">
        <f>SUMIF(Billing_Table[Doctor ID],A16,Billing_Table[Total Bill])</f>
        <v>1800</v>
      </c>
    </row>
  </sheetData>
  <dataValidations>
    <dataValidation type="custom" allowBlank="1" showDropDown="1" sqref="C2:D16">
      <formula1>AND(ISNUMBER(C2),(NOT(OR(NOT(ISERROR(DATEVALUE(C2))), AND(ISNUMBER(C2), LEFT(CELL("format", C2))="D")))))</formula1>
    </dataValidation>
    <dataValidation type="list" allowBlank="1" sqref="A2:A16">
      <formula1>"DOC-001-GEN,DOC-002-CAR,DOC-005-ORT,DOC-008-GYN,DOC-012-DEN,DOC-004-PED,DOC-007-NEU,DOC-006-DER,DOC-003-ENT,DOC-009-OPH,DOC-015-SUR,DOC-011-URO,DOC-013-ONC,DOC-010-PSY,DOC-014-RAD"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102</v>
      </c>
    </row>
    <row r="2">
      <c r="A2" s="35" t="s">
        <v>103</v>
      </c>
      <c r="B2" s="36" t="s">
        <v>64</v>
      </c>
    </row>
    <row r="3">
      <c r="A3" s="37" t="s">
        <v>58</v>
      </c>
      <c r="B3" s="38" t="str">
        <f>IFERROR(VLOOKUP(B2,Appointments_Table[],2,false),"")</f>
        <v>Ali Khan</v>
      </c>
    </row>
    <row r="4">
      <c r="A4" s="39" t="s">
        <v>8</v>
      </c>
      <c r="B4" s="40" t="str">
        <f>IFERROR(VLOOKUP(B2,Appointments_Table[],3,false),"")</f>
        <v>DOC-001-GEN</v>
      </c>
    </row>
    <row r="5">
      <c r="A5" s="37" t="s">
        <v>100</v>
      </c>
      <c r="B5" s="41">
        <f>VLOOKUP(B2,Billing_Table[],6,false)</f>
        <v>1000</v>
      </c>
    </row>
  </sheetData>
  <mergeCells count="1">
    <mergeCell ref="A1:B1"/>
  </mergeCells>
  <dataValidations>
    <dataValidation type="list" allowBlank="1" showErrorMessage="1" sqref="B2">
      <formula1>"APP-1001,APP-1002,APP-1003,APP-1004,APP-1005,APP-1006,APP-1007,APP-1008,APP-1009,APP-1010,APP-1011,APP-1012,APP-1013,APP-1014,APP-1015"</formula1>
    </dataValidation>
  </dataValidations>
  <drawing r:id="rId1"/>
</worksheet>
</file>